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ives-eval" sheetId="1" r:id="rId5"/>
    <sheet state="visible" name="spmv-rand" sheetId="2" r:id="rId6"/>
    <sheet state="visible" name="strong-scaling" sheetId="3" r:id="rId7"/>
    <sheet state="visible" name="simulation-poster-results" sheetId="4" r:id="rId8"/>
  </sheets>
  <definedNames>
    <definedName name="CYCLES_TO_MS">LAMBDA(cycles, cycles / 1.1 / 1000000)</definedName>
  </definedNames>
  <calcPr/>
</workbook>
</file>

<file path=xl/sharedStrings.xml><?xml version="1.0" encoding="utf-8"?>
<sst xmlns="http://schemas.openxmlformats.org/spreadsheetml/2006/main" count="150" uniqueCount="78">
  <si>
    <t>strong scaling  (.005 density, block decomp)</t>
  </si>
  <si>
    <t>using 64x64 grid of PEs</t>
  </si>
  <si>
    <t>run 1 (seed 1)</t>
  </si>
  <si>
    <t>rows/pe row</t>
  </si>
  <si>
    <t>nnz per pe</t>
  </si>
  <si>
    <t>run 2 (seed 3)</t>
  </si>
  <si>
    <t>max nnz per pe</t>
  </si>
  <si>
    <t>spmv cycle count</t>
  </si>
  <si>
    <t>run 3 (seed 100)</t>
  </si>
  <si>
    <t>pe dim</t>
  </si>
  <si>
    <t>reduction</t>
  </si>
  <si>
    <t>rows/cols per pe</t>
  </si>
  <si>
    <t>average</t>
  </si>
  <si>
    <t>broadcast</t>
  </si>
  <si>
    <t>max per pe</t>
  </si>
  <si>
    <t>row-major</t>
  </si>
  <si>
    <t>max comp time</t>
  </si>
  <si>
    <t>strong scaling  (.01 density, block decomp)</t>
  </si>
  <si>
    <t>run 1 (seed 42)</t>
  </si>
  <si>
    <t>strong scaling  (.02 density, block decomp)</t>
  </si>
  <si>
    <t>strong scaling  (.4 density, block decomp)</t>
  </si>
  <si>
    <t>fix 100 max nnz per PE (10 by 10)</t>
  </si>
  <si>
    <t>could also do experiments with fixed nnz per pe</t>
  </si>
  <si>
    <t>play with: nnz density</t>
  </si>
  <si>
    <t>play with nrows and ncols that thsoe nnz are broken in to</t>
  </si>
  <si>
    <t>play with: weak scaling</t>
  </si>
  <si>
    <t>this looks at how does #bcasts and #reduces factor in to performance</t>
  </si>
  <si>
    <t>512 by 512 PEs, randomly generated inputs, block decomposition</t>
  </si>
  <si>
    <t>V_len + 12 * (P + 1)</t>
  </si>
  <si>
    <t xml:space="preserve">3B + 2.34P </t>
  </si>
  <si>
    <t>density</t>
  </si>
  <si>
    <t>average nnz</t>
  </si>
  <si>
    <t>max</t>
  </si>
  <si>
    <t>xmajor</t>
  </si>
  <si>
    <t>reduce (B=10)</t>
  </si>
  <si>
    <t>comm</t>
  </si>
  <si>
    <t>diff</t>
  </si>
  <si>
    <t xml:space="preserve"> √</t>
  </si>
  <si>
    <t>on the real hardware</t>
  </si>
  <si>
    <t>gonna just repeat what they did in the wse 2 paper</t>
  </si>
  <si>
    <t>model</t>
  </si>
  <si>
    <t>model error</t>
  </si>
  <si>
    <t>model 2</t>
  </si>
  <si>
    <t xml:space="preserve">reduce </t>
  </si>
  <si>
    <t>reduce</t>
  </si>
  <si>
    <t>experiment 1: 512 PEs, increasing length</t>
  </si>
  <si>
    <t>B + (2T + 2) (P-1)</t>
  </si>
  <si>
    <t>B + P + 2T</t>
  </si>
  <si>
    <t>with no comp, IDENTICAL PERFORMANCE</t>
  </si>
  <si>
    <t>vector length</t>
  </si>
  <si>
    <t>reduce-sim</t>
  </si>
  <si>
    <t>V_len + 9 (P + 1)</t>
  </si>
  <si>
    <t>reduce-true</t>
  </si>
  <si>
    <t>reticle</t>
  </si>
  <si>
    <t>model (new)</t>
  </si>
  <si>
    <t>reduce-true-cycles</t>
  </si>
  <si>
    <t xml:space="preserve">B + (12.3 P) </t>
  </si>
  <si>
    <t>the 12.3 P factor comes from:</t>
  </si>
  <si>
    <t>from pingpong: 13.6 = 4R + 2C</t>
  </si>
  <si>
    <t>reticle crossings</t>
  </si>
  <si>
    <t>C = 12 - 2R</t>
  </si>
  <si>
    <t>other comm (2R + 1C)</t>
  </si>
  <si>
    <t>nPEs</t>
  </si>
  <si>
    <t xml:space="preserve">V_len + 9 * (P + 1) </t>
  </si>
  <si>
    <t>3B + 2.34P</t>
  </si>
  <si>
    <t>reticle overhead</t>
  </si>
  <si>
    <t xml:space="preserve">V_len + 13 * (P) + .28 P </t>
  </si>
  <si>
    <t>(2(3.4) + 2) * P</t>
  </si>
  <si>
    <t xml:space="preserve">9 P + 270 = (5 + 4 (for compute)) P </t>
  </si>
  <si>
    <t>12.3 = (8 + 4) P + .28 P</t>
  </si>
  <si>
    <t>broadcast-sim</t>
  </si>
  <si>
    <t>bcast-true</t>
  </si>
  <si>
    <t>3B + 4.2P + 6 * 18</t>
  </si>
  <si>
    <t>vector length 256</t>
  </si>
  <si>
    <t>2.34P + 3B = cycles</t>
  </si>
  <si>
    <t>chain broadcast: 512 PEs, increasing length</t>
  </si>
  <si>
    <t>chain-bcast-sim</t>
  </si>
  <si>
    <t>chain-bcast-true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</si>
</sst>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1D Reduce Local Size Scaling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'collectives-eval'!$B$7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'collectives-eval'!$A$8:$A$20</c:f>
            </c:numRef>
          </c:xVal>
          <c:yVal>
            <c:numRef>
              <c:f>'collectives-eval'!$B$8:$B$20</c:f>
              <c:numCache/>
            </c:numRef>
          </c:yVal>
        </c:ser>
        <c:ser>
          <c:idx val="1"/>
          <c:order val="1"/>
          <c:tx>
            <c:strRef>
              <c:f>'collectives-eval'!$F$7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'collectives-eval'!$A$8:$A$20</c:f>
            </c:numRef>
          </c:xVal>
          <c:yVal>
            <c:numRef>
              <c:f>'collectives-eval'!$F$8:$F$20</c:f>
              <c:numCache/>
            </c:numRef>
          </c:yVal>
        </c:ser>
        <c:ser>
          <c:idx val="2"/>
          <c:order val="2"/>
          <c:tx>
            <c:strRef>
              <c:f>'collectives-eval'!$H$7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'collectives-eval'!$A$8:$A$20</c:f>
            </c:numRef>
          </c:xVal>
          <c:yVal>
            <c:numRef>
              <c:f>'collectives-eval'!$H$8:$H$20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16832"/>
        <c:axId val="713907558"/>
      </c:scatterChart>
      <c:valAx>
        <c:axId val="7023168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Local vector length (wavelets)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907558"/>
      </c:valAx>
      <c:valAx>
        <c:axId val="713907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Cycle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316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Reduce weak scaling (256 elements)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'collectives-eval'!$B$23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'collectives-eval'!$A$24:$A$32</c:f>
            </c:numRef>
          </c:xVal>
          <c:yVal>
            <c:numRef>
              <c:f>'collectives-eval'!$B$24:$B$32</c:f>
              <c:numCache/>
            </c:numRef>
          </c:yVal>
        </c:ser>
        <c:ser>
          <c:idx val="1"/>
          <c:order val="1"/>
          <c:tx>
            <c:strRef>
              <c:f>'collectives-eval'!$C$23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'collectives-eval'!$A$24:$A$32</c:f>
            </c:numRef>
          </c:xVal>
          <c:yVal>
            <c:numRef>
              <c:f>'collectives-eval'!$C$24:$C$32</c:f>
              <c:numCache/>
            </c:numRef>
          </c:yVal>
        </c:ser>
        <c:ser>
          <c:idx val="2"/>
          <c:order val="2"/>
          <c:tx>
            <c:strRef>
              <c:f>'collectives-eval'!$F$23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'collectives-eval'!$A$24:$A$32</c:f>
            </c:numRef>
          </c:xVal>
          <c:yVal>
            <c:numRef>
              <c:f>'collectives-eval'!$F$24:$F$32</c:f>
              <c:numCache/>
            </c:numRef>
          </c:yVal>
        </c:ser>
        <c:ser>
          <c:idx val="3"/>
          <c:order val="3"/>
          <c:tx>
            <c:strRef>
              <c:f>'collectives-eval'!$H$23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'collectives-eval'!$A$24:$A$32</c:f>
            </c:numRef>
          </c:xVal>
          <c:yVal>
            <c:numRef>
              <c:f>'collectives-eval'!$H$24:$H$31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947304"/>
        <c:axId val="1582530717"/>
      </c:scatterChart>
      <c:valAx>
        <c:axId val="18059473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#PEs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530717"/>
      </c:valAx>
      <c:valAx>
        <c:axId val="1582530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Cycle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947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broadcast-sim and bcast-true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'collectives-eval'!$B$37:$B$38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'collectives-eval'!$A$39:$A$51</c:f>
            </c:numRef>
          </c:xVal>
          <c:yVal>
            <c:numRef>
              <c:f>'collectives-eval'!$B$39:$B$51</c:f>
              <c:numCache/>
            </c:numRef>
          </c:yVal>
        </c:ser>
        <c:ser>
          <c:idx val="1"/>
          <c:order val="1"/>
          <c:tx>
            <c:strRef>
              <c:f>'collectives-eval'!$C$37:$C$38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'collectives-eval'!$A$39:$A$51</c:f>
            </c:numRef>
          </c:xVal>
          <c:yVal>
            <c:numRef>
              <c:f>'collectives-eval'!$C$39:$C$51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040635"/>
        <c:axId val="1659630074"/>
      </c:scatterChart>
      <c:valAx>
        <c:axId val="14980406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vector 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630074"/>
      </c:valAx>
      <c:valAx>
        <c:axId val="1659630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0406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broadcast-sim and bcast-true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'collectives-eval'!$B$53:$B$54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'collectives-eval'!$A$55:$A$62</c:f>
            </c:numRef>
          </c:xVal>
          <c:yVal>
            <c:numRef>
              <c:f>'collectives-eval'!$B$55:$B$62</c:f>
              <c:numCache/>
            </c:numRef>
          </c:yVal>
        </c:ser>
        <c:ser>
          <c:idx val="1"/>
          <c:order val="1"/>
          <c:tx>
            <c:strRef>
              <c:f>'collectives-eval'!$C$53:$C$54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'collectives-eval'!$A$55:$A$62</c:f>
            </c:numRef>
          </c:xVal>
          <c:yVal>
            <c:numRef>
              <c:f>'collectives-eval'!$C$55:$C$62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795741"/>
        <c:axId val="401276060"/>
      </c:scatterChart>
      <c:valAx>
        <c:axId val="13077957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nPEs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276060"/>
      </c:valAx>
      <c:valAx>
        <c:axId val="401276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7795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'spmv-rand'!$I$9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'spmv-rand'!$D$10:$D$15</c:f>
            </c:numRef>
          </c:xVal>
          <c:yVal>
            <c:numRef>
              <c:f>'spmv-rand'!$I$10:$I$15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845910"/>
        <c:axId val="1368928323"/>
      </c:scatterChart>
      <c:valAx>
        <c:axId val="858845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 Nnz per 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928323"/>
      </c:valAx>
      <c:valAx>
        <c:axId val="1368928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845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rows/cols per pe, max per pe, average, row-major and xmajor</a:t>
            </a:r>
          </a:p>
        </c:rich>
      </c:tx>
      <c:overlay val="0"/>
    </c:title>
    <c:plotArea>
      <c:layout/>
      <c:lineChart>
        <c:axId val="1023524123"/>
        <c:axId val="749932492"/>
      </c:lineChart>
      <c:catAx>
        <c:axId val="1023524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932492"/>
      </c:catAx>
      <c:valAx>
        <c:axId val="74993249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23524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3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152400</xdr:colOff>
      <xdr:row>29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581025</xdr:colOff>
      <xdr:row>34</xdr:row>
      <xdr:rowOff>76200</xdr:rowOff>
    </xdr:from>
    <xdr:ext cx="5324475" cy="3295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809625</xdr:colOff>
      <xdr:row>61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638175</xdr:colOff>
      <xdr:row>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209550</xdr:colOff>
      <xdr:row>18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7.75"/>
  </cols>
  <sheetData>
    <row r="1">
      <c r="A1" s="2" t="s">
        <v>38</v>
      </c>
    </row>
    <row r="2">
      <c r="A2" s="2" t="s">
        <v>39</v>
      </c>
      <c r="F2" s="2"/>
    </row>
    <row r="4">
      <c r="C4" s="2" t="s">
        <v>40</v>
      </c>
      <c r="D4" s="2" t="s">
        <v>41</v>
      </c>
      <c r="G4" s="2"/>
      <c r="H4" s="2" t="s">
        <v>42</v>
      </c>
    </row>
    <row r="5">
      <c r="C5" s="2" t="s">
        <v>43</v>
      </c>
      <c r="D5" s="2" t="s">
        <v>44</v>
      </c>
      <c r="E5" s="2" t="s">
        <v>13</v>
      </c>
    </row>
    <row r="6">
      <c r="A6" s="2" t="s">
        <v>45</v>
      </c>
      <c r="C6" s="2" t="s">
        <v>46</v>
      </c>
      <c r="D6" s="2"/>
      <c r="E6" s="2" t="s">
        <v>47</v>
      </c>
      <c r="G6" s="2"/>
      <c r="H6" s="2"/>
      <c r="I6" s="2" t="s">
        <v>48</v>
      </c>
    </row>
    <row r="7">
      <c r="A7" s="2" t="s">
        <v>49</v>
      </c>
      <c r="B7" s="2" t="s">
        <v>50</v>
      </c>
      <c r="C7" s="2" t="s">
        <v>51</v>
      </c>
      <c r="D7" s="2"/>
      <c r="E7" s="5"/>
      <c r="F7" s="2" t="s">
        <v>52</v>
      </c>
      <c r="G7" s="2" t="s">
        <v>53</v>
      </c>
      <c r="H7" s="2" t="s">
        <v>54</v>
      </c>
      <c r="I7" s="2" t="s">
        <v>55</v>
      </c>
    </row>
    <row r="8">
      <c r="A8" s="2">
        <v>1.0</v>
      </c>
      <c r="B8" s="2">
        <v>4623.0</v>
      </c>
      <c r="C8" s="4">
        <f t="shared" ref="C8:C20" si="1">A8 + 9 * (512 + 1)</f>
        <v>4618</v>
      </c>
      <c r="D8" s="4">
        <f t="shared" ref="D8:D20" si="2">ABS(B8-C8) / B8</f>
        <v>0.001081548778</v>
      </c>
      <c r="E8" s="4">
        <f t="shared" ref="E8:E20" si="3">3*A8+2.34*512</f>
        <v>1201.08</v>
      </c>
      <c r="F8" s="4">
        <f t="shared" ref="F8:F9" si="4">12671/2</f>
        <v>6335.5</v>
      </c>
      <c r="G8" s="4">
        <f t="shared" ref="G8:G20" si="5">7 * 18</f>
        <v>126</v>
      </c>
      <c r="H8" s="4">
        <f t="shared" ref="H8:H20" si="6">A8 + 12.3 * 512</f>
        <v>6298.6</v>
      </c>
      <c r="I8" s="2">
        <f t="shared" ref="I8:I20" si="7">0.000909 * C8</f>
        <v>4.197762</v>
      </c>
    </row>
    <row r="9">
      <c r="A9" s="2">
        <v>2.0</v>
      </c>
      <c r="B9" s="2">
        <v>4624.0</v>
      </c>
      <c r="C9" s="4">
        <f t="shared" si="1"/>
        <v>4619</v>
      </c>
      <c r="D9" s="4">
        <f t="shared" si="2"/>
        <v>0.001081314879</v>
      </c>
      <c r="E9" s="4">
        <f t="shared" si="3"/>
        <v>1204.08</v>
      </c>
      <c r="F9" s="4">
        <f t="shared" si="4"/>
        <v>6335.5</v>
      </c>
      <c r="G9" s="4">
        <f t="shared" si="5"/>
        <v>126</v>
      </c>
      <c r="H9" s="4">
        <f t="shared" si="6"/>
        <v>6299.6</v>
      </c>
      <c r="I9" s="2">
        <f t="shared" si="7"/>
        <v>4.198671</v>
      </c>
      <c r="Q9" s="2" t="s">
        <v>56</v>
      </c>
    </row>
    <row r="10">
      <c r="A10" s="2">
        <v>4.0</v>
      </c>
      <c r="B10" s="2">
        <v>4626.0</v>
      </c>
      <c r="C10" s="4">
        <f t="shared" si="1"/>
        <v>4621</v>
      </c>
      <c r="D10" s="4">
        <f t="shared" si="2"/>
        <v>0.001080847384</v>
      </c>
      <c r="E10" s="4">
        <f t="shared" si="3"/>
        <v>1210.08</v>
      </c>
      <c r="F10" s="4">
        <f>12677/2</f>
        <v>6338.5</v>
      </c>
      <c r="G10" s="4">
        <f t="shared" si="5"/>
        <v>126</v>
      </c>
      <c r="H10" s="4">
        <f t="shared" si="6"/>
        <v>6301.6</v>
      </c>
      <c r="I10" s="2">
        <f t="shared" si="7"/>
        <v>4.200489</v>
      </c>
      <c r="Q10" s="4">
        <f>12.3 * 512</f>
        <v>6297.6</v>
      </c>
    </row>
    <row r="11">
      <c r="A11" s="2">
        <v>8.0</v>
      </c>
      <c r="B11" s="2">
        <v>4630.0</v>
      </c>
      <c r="C11" s="4">
        <f t="shared" si="1"/>
        <v>4625</v>
      </c>
      <c r="D11" s="4">
        <f t="shared" si="2"/>
        <v>0.001079913607</v>
      </c>
      <c r="E11" s="4">
        <f t="shared" si="3"/>
        <v>1222.08</v>
      </c>
      <c r="F11" s="4">
        <f>12683/2</f>
        <v>6341.5</v>
      </c>
      <c r="G11" s="4">
        <f t="shared" si="5"/>
        <v>126</v>
      </c>
      <c r="H11" s="4">
        <f t="shared" si="6"/>
        <v>6305.6</v>
      </c>
      <c r="I11" s="2">
        <f t="shared" si="7"/>
        <v>4.204125</v>
      </c>
    </row>
    <row r="12">
      <c r="A12" s="2">
        <v>16.0</v>
      </c>
      <c r="B12" s="2">
        <v>4638.0</v>
      </c>
      <c r="C12" s="4">
        <f t="shared" si="1"/>
        <v>4633</v>
      </c>
      <c r="D12" s="4">
        <f t="shared" si="2"/>
        <v>0.001078050884</v>
      </c>
      <c r="E12" s="4">
        <f t="shared" si="3"/>
        <v>1246.08</v>
      </c>
      <c r="F12" s="4">
        <f>12701/2</f>
        <v>6350.5</v>
      </c>
      <c r="G12" s="4">
        <f t="shared" si="5"/>
        <v>126</v>
      </c>
      <c r="H12" s="4">
        <f t="shared" si="6"/>
        <v>6313.6</v>
      </c>
      <c r="I12" s="2">
        <f t="shared" si="7"/>
        <v>4.211397</v>
      </c>
    </row>
    <row r="13">
      <c r="A13" s="2">
        <v>32.0</v>
      </c>
      <c r="B13" s="2">
        <v>4654.0</v>
      </c>
      <c r="C13" s="4">
        <f t="shared" si="1"/>
        <v>4649</v>
      </c>
      <c r="D13" s="4">
        <f t="shared" si="2"/>
        <v>0.00107434465</v>
      </c>
      <c r="E13" s="4">
        <f t="shared" si="3"/>
        <v>1294.08</v>
      </c>
      <c r="F13" s="4">
        <f>12737/2</f>
        <v>6368.5</v>
      </c>
      <c r="G13" s="4">
        <f t="shared" si="5"/>
        <v>126</v>
      </c>
      <c r="H13" s="4">
        <f t="shared" si="6"/>
        <v>6329.6</v>
      </c>
      <c r="I13" s="2">
        <f t="shared" si="7"/>
        <v>4.225941</v>
      </c>
    </row>
    <row r="14">
      <c r="A14" s="2">
        <v>64.0</v>
      </c>
      <c r="B14" s="2">
        <v>4686.0</v>
      </c>
      <c r="C14" s="4">
        <f t="shared" si="1"/>
        <v>4681</v>
      </c>
      <c r="D14" s="4">
        <f t="shared" si="2"/>
        <v>0.001067008109</v>
      </c>
      <c r="E14" s="4">
        <f t="shared" si="3"/>
        <v>1390.08</v>
      </c>
      <c r="F14" s="4">
        <f>12809/2</f>
        <v>6404.5</v>
      </c>
      <c r="G14" s="4">
        <f t="shared" si="5"/>
        <v>126</v>
      </c>
      <c r="H14" s="4">
        <f t="shared" si="6"/>
        <v>6361.6</v>
      </c>
      <c r="I14" s="2">
        <f t="shared" si="7"/>
        <v>4.255029</v>
      </c>
      <c r="Q14" s="2" t="s">
        <v>57</v>
      </c>
      <c r="T14" s="2" t="s">
        <v>58</v>
      </c>
    </row>
    <row r="15">
      <c r="A15" s="2">
        <v>128.0</v>
      </c>
      <c r="B15" s="2">
        <v>4750.0</v>
      </c>
      <c r="C15" s="4">
        <f t="shared" si="1"/>
        <v>4745</v>
      </c>
      <c r="D15" s="4">
        <f t="shared" si="2"/>
        <v>0.001052631579</v>
      </c>
      <c r="E15" s="4">
        <f t="shared" si="3"/>
        <v>1582.08</v>
      </c>
      <c r="F15" s="4">
        <f>12953/2</f>
        <v>6476.5</v>
      </c>
      <c r="G15" s="4">
        <f t="shared" si="5"/>
        <v>126</v>
      </c>
      <c r="H15" s="4">
        <f t="shared" si="6"/>
        <v>6425.6</v>
      </c>
      <c r="I15" s="2">
        <f t="shared" si="7"/>
        <v>4.313205</v>
      </c>
      <c r="Q15" s="2">
        <v>0.28</v>
      </c>
      <c r="R15" s="2" t="s">
        <v>59</v>
      </c>
      <c r="T15" s="2" t="s">
        <v>60</v>
      </c>
    </row>
    <row r="16">
      <c r="A16" s="2">
        <v>256.0</v>
      </c>
      <c r="B16" s="2">
        <v>4878.0</v>
      </c>
      <c r="C16" s="4">
        <f t="shared" si="1"/>
        <v>4873</v>
      </c>
      <c r="D16" s="4">
        <f t="shared" si="2"/>
        <v>0.00102501025</v>
      </c>
      <c r="E16" s="4">
        <f t="shared" si="3"/>
        <v>1966.08</v>
      </c>
      <c r="F16" s="4">
        <f>13241/2</f>
        <v>6620.5</v>
      </c>
      <c r="G16" s="4">
        <f t="shared" si="5"/>
        <v>126</v>
      </c>
      <c r="H16" s="4">
        <f t="shared" si="6"/>
        <v>6553.6</v>
      </c>
      <c r="I16" s="2">
        <f t="shared" si="7"/>
        <v>4.429557</v>
      </c>
      <c r="Q16" s="2">
        <v>12.0</v>
      </c>
      <c r="R16" s="2" t="s">
        <v>61</v>
      </c>
    </row>
    <row r="17">
      <c r="A17" s="2">
        <v>512.0</v>
      </c>
      <c r="B17" s="2">
        <v>5134.0</v>
      </c>
      <c r="C17" s="4">
        <f t="shared" si="1"/>
        <v>5129</v>
      </c>
      <c r="D17" s="4">
        <f t="shared" si="2"/>
        <v>0.0009738994936</v>
      </c>
      <c r="E17" s="4">
        <f t="shared" si="3"/>
        <v>2734.08</v>
      </c>
      <c r="F17" s="4">
        <f>13817/2</f>
        <v>6908.5</v>
      </c>
      <c r="G17" s="4">
        <f t="shared" si="5"/>
        <v>126</v>
      </c>
      <c r="H17" s="4">
        <f t="shared" si="6"/>
        <v>6809.6</v>
      </c>
      <c r="I17" s="2">
        <f t="shared" si="7"/>
        <v>4.662261</v>
      </c>
    </row>
    <row r="18">
      <c r="A18" s="2">
        <v>1024.0</v>
      </c>
      <c r="B18" s="2">
        <v>5646.0</v>
      </c>
      <c r="C18" s="4">
        <f t="shared" si="1"/>
        <v>5641</v>
      </c>
      <c r="D18" s="4">
        <f t="shared" si="2"/>
        <v>0.0008855827134</v>
      </c>
      <c r="E18" s="4">
        <f t="shared" si="3"/>
        <v>4270.08</v>
      </c>
      <c r="F18" s="4">
        <f>15023/2</f>
        <v>7511.5</v>
      </c>
      <c r="G18" s="4">
        <f t="shared" si="5"/>
        <v>126</v>
      </c>
      <c r="H18" s="4">
        <f t="shared" si="6"/>
        <v>7321.6</v>
      </c>
      <c r="I18" s="2">
        <f t="shared" si="7"/>
        <v>5.127669</v>
      </c>
    </row>
    <row r="19">
      <c r="A19" s="2">
        <v>2048.0</v>
      </c>
      <c r="B19" s="2">
        <v>6670.0</v>
      </c>
      <c r="C19" s="4">
        <f t="shared" si="1"/>
        <v>6665</v>
      </c>
      <c r="D19" s="4">
        <f t="shared" si="2"/>
        <v>0.0007496251874</v>
      </c>
      <c r="E19" s="4">
        <f t="shared" si="3"/>
        <v>7342.08</v>
      </c>
      <c r="F19" s="4">
        <f>17273/2</f>
        <v>8636.5</v>
      </c>
      <c r="G19" s="4">
        <f t="shared" si="5"/>
        <v>126</v>
      </c>
      <c r="H19" s="4">
        <f t="shared" si="6"/>
        <v>8345.6</v>
      </c>
      <c r="I19" s="2">
        <f t="shared" si="7"/>
        <v>6.058485</v>
      </c>
    </row>
    <row r="20">
      <c r="A20" s="2">
        <v>4096.0</v>
      </c>
      <c r="B20" s="2">
        <v>8718.0</v>
      </c>
      <c r="C20" s="4">
        <f t="shared" si="1"/>
        <v>8713</v>
      </c>
      <c r="D20" s="4">
        <f t="shared" si="2"/>
        <v>0.0005735260381</v>
      </c>
      <c r="E20" s="4">
        <f t="shared" si="3"/>
        <v>13486.08</v>
      </c>
      <c r="F20" s="2">
        <f>21881/2</f>
        <v>10940.5</v>
      </c>
      <c r="G20" s="4">
        <f t="shared" si="5"/>
        <v>126</v>
      </c>
      <c r="H20" s="4">
        <f t="shared" si="6"/>
        <v>10393.6</v>
      </c>
      <c r="I20" s="2">
        <f t="shared" si="7"/>
        <v>7.920117</v>
      </c>
    </row>
    <row r="23">
      <c r="A23" s="2" t="s">
        <v>62</v>
      </c>
      <c r="B23" s="2" t="s">
        <v>50</v>
      </c>
      <c r="C23" s="2" t="s">
        <v>63</v>
      </c>
      <c r="E23" s="2" t="s">
        <v>64</v>
      </c>
      <c r="F23" s="2" t="s">
        <v>52</v>
      </c>
      <c r="G23" s="2" t="s">
        <v>65</v>
      </c>
      <c r="H23" s="2" t="s">
        <v>66</v>
      </c>
      <c r="I23" s="2" t="s">
        <v>47</v>
      </c>
    </row>
    <row r="24">
      <c r="A24" s="2">
        <v>4.0</v>
      </c>
      <c r="B24" s="2">
        <v>306.0</v>
      </c>
      <c r="C24" s="4">
        <f t="shared" ref="C24:C32" si="8">256 + 9 * (A24 + 1)</f>
        <v>301</v>
      </c>
      <c r="D24" s="4">
        <f t="shared" ref="D24:D32" si="9">ABS(B24-C24) / B24</f>
        <v>0.01633986928</v>
      </c>
      <c r="E24" s="4">
        <f t="shared" ref="E24:E32" si="10">3*256 + 2.34 * A24</f>
        <v>777.36</v>
      </c>
      <c r="F24" s="2">
        <f>705/2</f>
        <v>352.5</v>
      </c>
      <c r="G24" s="4">
        <f t="shared" ref="G24:G32" si="11">FLOOR(A24/64,1) * 18</f>
        <v>0</v>
      </c>
      <c r="H24" s="4">
        <f t="shared" ref="H24:H31" si="12">256 + 12.3 * (A24) + G24</f>
        <v>305.2</v>
      </c>
      <c r="I24" s="2">
        <f t="shared" ref="I24:I32" si="13">A24 +  256 + 10</f>
        <v>270</v>
      </c>
      <c r="Q24" s="2" t="s">
        <v>67</v>
      </c>
    </row>
    <row r="25">
      <c r="A25" s="2">
        <v>8.0</v>
      </c>
      <c r="B25" s="2">
        <v>342.0</v>
      </c>
      <c r="C25" s="4">
        <f t="shared" si="8"/>
        <v>337</v>
      </c>
      <c r="D25" s="4">
        <f t="shared" si="9"/>
        <v>0.01461988304</v>
      </c>
      <c r="E25" s="4">
        <f t="shared" si="10"/>
        <v>786.72</v>
      </c>
      <c r="F25" s="4">
        <f>801/2</f>
        <v>400.5</v>
      </c>
      <c r="G25" s="4">
        <f t="shared" si="11"/>
        <v>0</v>
      </c>
      <c r="H25" s="4">
        <f t="shared" si="12"/>
        <v>354.4</v>
      </c>
      <c r="I25" s="2">
        <f t="shared" si="13"/>
        <v>274</v>
      </c>
    </row>
    <row r="26">
      <c r="A26" s="2">
        <v>16.0</v>
      </c>
      <c r="B26" s="2">
        <v>414.0</v>
      </c>
      <c r="C26" s="4">
        <f t="shared" si="8"/>
        <v>409</v>
      </c>
      <c r="D26" s="4">
        <f t="shared" si="9"/>
        <v>0.01207729469</v>
      </c>
      <c r="E26" s="4">
        <f t="shared" si="10"/>
        <v>805.44</v>
      </c>
      <c r="F26" s="4">
        <f>997/2</f>
        <v>498.5</v>
      </c>
      <c r="G26" s="4">
        <f t="shared" si="11"/>
        <v>0</v>
      </c>
      <c r="H26" s="4">
        <f t="shared" si="12"/>
        <v>452.8</v>
      </c>
      <c r="I26" s="2">
        <f t="shared" si="13"/>
        <v>282</v>
      </c>
    </row>
    <row r="27">
      <c r="A27" s="2">
        <v>32.0</v>
      </c>
      <c r="B27" s="2">
        <v>558.0</v>
      </c>
      <c r="C27" s="4">
        <f t="shared" si="8"/>
        <v>553</v>
      </c>
      <c r="D27" s="4">
        <f t="shared" si="9"/>
        <v>0.008960573477</v>
      </c>
      <c r="E27" s="4">
        <f t="shared" si="10"/>
        <v>842.88</v>
      </c>
      <c r="F27" s="4">
        <f>1416/2</f>
        <v>708</v>
      </c>
      <c r="G27" s="4">
        <f t="shared" si="11"/>
        <v>0</v>
      </c>
      <c r="H27" s="4">
        <f t="shared" si="12"/>
        <v>649.6</v>
      </c>
      <c r="I27" s="2">
        <f t="shared" si="13"/>
        <v>298</v>
      </c>
      <c r="L27" s="2" t="s">
        <v>62</v>
      </c>
      <c r="M27" s="2" t="s">
        <v>50</v>
      </c>
      <c r="N27" s="2" t="s">
        <v>52</v>
      </c>
      <c r="Q27" s="2" t="s">
        <v>68</v>
      </c>
    </row>
    <row r="28">
      <c r="A28" s="2">
        <v>64.0</v>
      </c>
      <c r="B28" s="2">
        <v>846.0</v>
      </c>
      <c r="C28" s="4">
        <f t="shared" si="8"/>
        <v>841</v>
      </c>
      <c r="D28" s="4">
        <f t="shared" si="9"/>
        <v>0.005910165485</v>
      </c>
      <c r="E28" s="4">
        <f t="shared" si="10"/>
        <v>917.76</v>
      </c>
      <c r="F28" s="4">
        <f>2192/2</f>
        <v>1096</v>
      </c>
      <c r="G28" s="4">
        <f t="shared" si="11"/>
        <v>18</v>
      </c>
      <c r="H28" s="4">
        <f t="shared" si="12"/>
        <v>1061.2</v>
      </c>
      <c r="I28" s="2">
        <f t="shared" si="13"/>
        <v>330</v>
      </c>
      <c r="L28" s="2">
        <v>4.0</v>
      </c>
      <c r="M28" s="2">
        <v>306.0</v>
      </c>
      <c r="N28" s="2">
        <f>705/2</f>
        <v>352.5</v>
      </c>
    </row>
    <row r="29">
      <c r="A29" s="2">
        <v>128.0</v>
      </c>
      <c r="B29" s="2">
        <v>1422.0</v>
      </c>
      <c r="C29" s="4">
        <f t="shared" si="8"/>
        <v>1417</v>
      </c>
      <c r="D29" s="4">
        <f t="shared" si="9"/>
        <v>0.003516174402</v>
      </c>
      <c r="E29" s="4">
        <f t="shared" si="10"/>
        <v>1067.52</v>
      </c>
      <c r="F29" s="4">
        <f>3774/2</f>
        <v>1887</v>
      </c>
      <c r="G29" s="4">
        <f t="shared" si="11"/>
        <v>36</v>
      </c>
      <c r="H29" s="4">
        <f t="shared" si="12"/>
        <v>1866.4</v>
      </c>
      <c r="I29" s="2">
        <f t="shared" si="13"/>
        <v>394</v>
      </c>
      <c r="L29" s="2">
        <v>8.0</v>
      </c>
      <c r="M29" s="2">
        <v>342.0</v>
      </c>
      <c r="N29" s="4">
        <f>801/2</f>
        <v>400.5</v>
      </c>
      <c r="Q29" s="2" t="s">
        <v>69</v>
      </c>
    </row>
    <row r="30">
      <c r="A30" s="2">
        <v>256.0</v>
      </c>
      <c r="B30" s="2">
        <v>2574.0</v>
      </c>
      <c r="C30" s="4">
        <f t="shared" si="8"/>
        <v>2569</v>
      </c>
      <c r="D30" s="4">
        <f t="shared" si="9"/>
        <v>0.001942501943</v>
      </c>
      <c r="E30" s="4">
        <f t="shared" si="10"/>
        <v>1367.04</v>
      </c>
      <c r="F30" s="4">
        <f>6929/2</f>
        <v>3464.5</v>
      </c>
      <c r="G30" s="4">
        <f t="shared" si="11"/>
        <v>72</v>
      </c>
      <c r="H30" s="4">
        <f t="shared" si="12"/>
        <v>3476.8</v>
      </c>
      <c r="I30" s="2">
        <f t="shared" si="13"/>
        <v>522</v>
      </c>
      <c r="L30" s="2">
        <v>16.0</v>
      </c>
      <c r="M30" s="2">
        <v>414.0</v>
      </c>
      <c r="N30" s="4">
        <f>997/2</f>
        <v>498.5</v>
      </c>
    </row>
    <row r="31">
      <c r="A31" s="2">
        <v>512.0</v>
      </c>
      <c r="B31" s="2">
        <v>4878.0</v>
      </c>
      <c r="C31" s="4">
        <f t="shared" si="8"/>
        <v>4873</v>
      </c>
      <c r="D31" s="4">
        <f t="shared" si="9"/>
        <v>0.00102501025</v>
      </c>
      <c r="E31" s="4">
        <f t="shared" si="10"/>
        <v>1966.08</v>
      </c>
      <c r="F31" s="4">
        <f>13241/2</f>
        <v>6620.5</v>
      </c>
      <c r="G31" s="4">
        <f t="shared" si="11"/>
        <v>144</v>
      </c>
      <c r="H31" s="4">
        <f t="shared" si="12"/>
        <v>6697.6</v>
      </c>
      <c r="I31" s="2">
        <f t="shared" si="13"/>
        <v>778</v>
      </c>
      <c r="L31" s="2">
        <v>32.0</v>
      </c>
      <c r="M31" s="2">
        <v>558.0</v>
      </c>
      <c r="N31" s="4">
        <f>1416/2</f>
        <v>708</v>
      </c>
    </row>
    <row r="32">
      <c r="A32" s="4">
        <f>512 + 256</f>
        <v>768</v>
      </c>
      <c r="B32" s="2">
        <v>7182.0</v>
      </c>
      <c r="C32" s="4">
        <f t="shared" si="8"/>
        <v>7177</v>
      </c>
      <c r="D32" s="4">
        <f t="shared" si="9"/>
        <v>0.0006961849067</v>
      </c>
      <c r="E32" s="4">
        <f t="shared" si="10"/>
        <v>2565.12</v>
      </c>
      <c r="G32" s="4">
        <f t="shared" si="11"/>
        <v>216</v>
      </c>
      <c r="I32" s="2">
        <f t="shared" si="13"/>
        <v>1034</v>
      </c>
      <c r="L32" s="2">
        <v>64.0</v>
      </c>
      <c r="M32" s="2">
        <v>846.0</v>
      </c>
      <c r="N32" s="4">
        <f>2192/2</f>
        <v>1096</v>
      </c>
    </row>
    <row r="33">
      <c r="L33" s="2">
        <v>128.0</v>
      </c>
      <c r="M33" s="2">
        <v>1422.0</v>
      </c>
      <c r="N33" s="4">
        <f>3774/2</f>
        <v>1887</v>
      </c>
    </row>
    <row r="34">
      <c r="L34" s="2">
        <v>256.0</v>
      </c>
      <c r="M34" s="2">
        <v>2574.0</v>
      </c>
      <c r="N34" s="4">
        <f>6929/2</f>
        <v>3464.5</v>
      </c>
    </row>
    <row r="35">
      <c r="E35" s="2" t="s">
        <v>47</v>
      </c>
      <c r="L35" s="2">
        <v>512.0</v>
      </c>
      <c r="M35" s="2">
        <v>4878.0</v>
      </c>
      <c r="N35" s="4">
        <f>13241/2</f>
        <v>6620.5</v>
      </c>
    </row>
    <row r="36">
      <c r="L36" s="4">
        <f>512 + 256</f>
        <v>768</v>
      </c>
      <c r="M36" s="2">
        <v>7182.0</v>
      </c>
    </row>
    <row r="37">
      <c r="A37" s="2" t="s">
        <v>45</v>
      </c>
    </row>
    <row r="38">
      <c r="A38" s="2" t="s">
        <v>49</v>
      </c>
      <c r="B38" s="1" t="s">
        <v>70</v>
      </c>
      <c r="C38" s="2" t="s">
        <v>71</v>
      </c>
    </row>
    <row r="39">
      <c r="A39" s="2">
        <v>1.0</v>
      </c>
      <c r="B39" s="3">
        <f>2080/2</f>
        <v>1040</v>
      </c>
      <c r="C39" s="4">
        <f t="shared" ref="C39:C40" si="14">2441/2</f>
        <v>1220.5</v>
      </c>
      <c r="D39" s="4">
        <f t="shared" ref="D39:D51" si="15">0.000909 * C39</f>
        <v>1.1094345</v>
      </c>
    </row>
    <row r="40">
      <c r="A40" s="2">
        <v>2.0</v>
      </c>
      <c r="B40" s="3">
        <f>2082/2</f>
        <v>1041</v>
      </c>
      <c r="C40" s="4">
        <f t="shared" si="14"/>
        <v>1220.5</v>
      </c>
      <c r="D40" s="4">
        <f t="shared" si="15"/>
        <v>1.1094345</v>
      </c>
      <c r="K40" s="2" t="s">
        <v>72</v>
      </c>
    </row>
    <row r="41">
      <c r="A41" s="2">
        <v>4.0</v>
      </c>
      <c r="B41" s="3">
        <f>2086/2</f>
        <v>1043</v>
      </c>
      <c r="C41" s="4">
        <f>2447/2</f>
        <v>1223.5</v>
      </c>
      <c r="D41" s="4">
        <f t="shared" si="15"/>
        <v>1.1121615</v>
      </c>
      <c r="K41" s="4">
        <f>(1201 ) / 512</f>
        <v>2.345703125</v>
      </c>
    </row>
    <row r="42">
      <c r="A42" s="2">
        <v>8.0</v>
      </c>
      <c r="B42" s="3">
        <f>2094/2</f>
        <v>1047</v>
      </c>
      <c r="C42" s="4">
        <f>2453/2</f>
        <v>1226.5</v>
      </c>
      <c r="D42" s="4">
        <f t="shared" si="15"/>
        <v>1.1148885</v>
      </c>
    </row>
    <row r="43">
      <c r="A43" s="2">
        <v>16.0</v>
      </c>
      <c r="B43" s="3">
        <f>2163/2</f>
        <v>1081.5</v>
      </c>
      <c r="C43" s="4">
        <f>2489/2</f>
        <v>1244.5</v>
      </c>
      <c r="D43" s="4">
        <f t="shared" si="15"/>
        <v>1.1312505</v>
      </c>
    </row>
    <row r="44">
      <c r="A44" s="2">
        <v>32.0</v>
      </c>
      <c r="B44" s="3">
        <f>2295/2</f>
        <v>1147.5</v>
      </c>
      <c r="C44" s="4">
        <f>2578/2</f>
        <v>1289</v>
      </c>
      <c r="D44" s="4">
        <f t="shared" si="15"/>
        <v>1.171701</v>
      </c>
      <c r="K44" s="2" t="s">
        <v>64</v>
      </c>
    </row>
    <row r="45">
      <c r="A45" s="2">
        <v>64.0</v>
      </c>
      <c r="B45" s="3">
        <f>2551/2</f>
        <v>1275.5</v>
      </c>
      <c r="C45" s="4">
        <f>2770/2</f>
        <v>1385</v>
      </c>
      <c r="D45" s="4">
        <f t="shared" si="15"/>
        <v>1.258965</v>
      </c>
      <c r="L45" s="4">
        <f>1023 / 512</f>
        <v>1.998046875</v>
      </c>
    </row>
    <row r="46">
      <c r="A46" s="2">
        <v>128.0</v>
      </c>
      <c r="B46" s="3">
        <f>3063/2</f>
        <v>1531.5</v>
      </c>
      <c r="C46" s="4">
        <f>3154/2</f>
        <v>1577</v>
      </c>
      <c r="D46" s="4">
        <f t="shared" si="15"/>
        <v>1.433493</v>
      </c>
    </row>
    <row r="47">
      <c r="A47" s="2">
        <v>256.0</v>
      </c>
      <c r="B47" s="3">
        <f>4087/2</f>
        <v>2043.5</v>
      </c>
      <c r="C47" s="4">
        <f>3922/2</f>
        <v>1961</v>
      </c>
      <c r="D47" s="4">
        <f t="shared" si="15"/>
        <v>1.782549</v>
      </c>
    </row>
    <row r="48">
      <c r="A48" s="2">
        <v>512.0</v>
      </c>
      <c r="B48" s="1">
        <f>6135/2</f>
        <v>3067.5</v>
      </c>
      <c r="C48" s="4">
        <f>5458/2</f>
        <v>2729</v>
      </c>
      <c r="D48" s="4">
        <f t="shared" si="15"/>
        <v>2.480661</v>
      </c>
    </row>
    <row r="49">
      <c r="A49" s="2">
        <v>1024.0</v>
      </c>
      <c r="B49" s="4">
        <f>10231/2</f>
        <v>5115.5</v>
      </c>
      <c r="C49" s="4">
        <f>8530/2</f>
        <v>4265</v>
      </c>
      <c r="D49" s="4">
        <f t="shared" si="15"/>
        <v>3.876885</v>
      </c>
    </row>
    <row r="50">
      <c r="A50" s="2">
        <v>2048.0</v>
      </c>
      <c r="B50" s="4">
        <f>18423/2</f>
        <v>9211.5</v>
      </c>
      <c r="C50" s="4">
        <f>14674/2</f>
        <v>7337</v>
      </c>
      <c r="D50" s="4">
        <f t="shared" si="15"/>
        <v>6.669333</v>
      </c>
    </row>
    <row r="51">
      <c r="A51" s="2">
        <v>4096.0</v>
      </c>
      <c r="C51" s="4">
        <f>26962/2</f>
        <v>13481</v>
      </c>
      <c r="D51" s="4">
        <f t="shared" si="15"/>
        <v>12.254229</v>
      </c>
    </row>
    <row r="53">
      <c r="A53" s="2" t="s">
        <v>73</v>
      </c>
    </row>
    <row r="54">
      <c r="A54" s="2" t="s">
        <v>62</v>
      </c>
      <c r="B54" s="1" t="s">
        <v>70</v>
      </c>
      <c r="C54" s="2" t="s">
        <v>71</v>
      </c>
    </row>
    <row r="55">
      <c r="A55" s="2">
        <v>4.0</v>
      </c>
      <c r="B55" s="2">
        <f t="shared" ref="B55:B56" si="16">2077/2</f>
        <v>1038.5</v>
      </c>
      <c r="C55" s="3">
        <f>1554/2</f>
        <v>777</v>
      </c>
      <c r="D55" s="4">
        <f t="shared" ref="D55:D63" si="17">0.000909 * C55</f>
        <v>0.706293</v>
      </c>
    </row>
    <row r="56">
      <c r="A56" s="2">
        <v>8.0</v>
      </c>
      <c r="B56" s="4">
        <f t="shared" si="16"/>
        <v>1038.5</v>
      </c>
      <c r="C56" s="3">
        <f>1565/2</f>
        <v>782.5</v>
      </c>
      <c r="D56" s="4">
        <f t="shared" si="17"/>
        <v>0.7112925</v>
      </c>
    </row>
    <row r="57">
      <c r="A57" s="2">
        <v>16.0</v>
      </c>
      <c r="B57" s="4">
        <f>2103/2</f>
        <v>1051.5</v>
      </c>
      <c r="C57" s="3">
        <f>1597/2</f>
        <v>798.5</v>
      </c>
      <c r="D57" s="4">
        <f t="shared" si="17"/>
        <v>0.7258365</v>
      </c>
    </row>
    <row r="58">
      <c r="A58" s="2">
        <v>32.0</v>
      </c>
      <c r="B58" s="4">
        <f>2167/2</f>
        <v>1083.5</v>
      </c>
      <c r="C58" s="3">
        <f>1661/2</f>
        <v>830.5</v>
      </c>
      <c r="D58" s="4">
        <f t="shared" si="17"/>
        <v>0.7549245</v>
      </c>
    </row>
    <row r="59">
      <c r="A59" s="2">
        <v>64.0</v>
      </c>
      <c r="B59" s="4">
        <f>2295/2</f>
        <v>1147.5</v>
      </c>
      <c r="C59" s="3">
        <f>1825/2</f>
        <v>912.5</v>
      </c>
      <c r="D59" s="4">
        <f t="shared" si="17"/>
        <v>0.8294625</v>
      </c>
    </row>
    <row r="60">
      <c r="A60" s="2">
        <v>128.0</v>
      </c>
      <c r="B60" s="4">
        <f>2551/2</f>
        <v>1275.5</v>
      </c>
      <c r="C60" s="3">
        <f>2124/2</f>
        <v>1062</v>
      </c>
      <c r="D60" s="4">
        <f t="shared" si="17"/>
        <v>0.965358</v>
      </c>
      <c r="K60" s="2" t="s">
        <v>74</v>
      </c>
    </row>
    <row r="61">
      <c r="A61" s="2">
        <v>256.0</v>
      </c>
      <c r="B61" s="4">
        <f>3063/2</f>
        <v>1531.5</v>
      </c>
      <c r="C61" s="3">
        <f>2726/2</f>
        <v>1363</v>
      </c>
      <c r="D61" s="4">
        <f t="shared" si="17"/>
        <v>1.238967</v>
      </c>
    </row>
    <row r="62">
      <c r="A62" s="2">
        <v>512.0</v>
      </c>
      <c r="B62" s="3">
        <f>4087/2</f>
        <v>2043.5</v>
      </c>
      <c r="C62" s="3">
        <f>3922/2</f>
        <v>1961</v>
      </c>
      <c r="D62" s="4">
        <f t="shared" si="17"/>
        <v>1.782549</v>
      </c>
    </row>
    <row r="63">
      <c r="A63" s="4">
        <f>512 + 256</f>
        <v>768</v>
      </c>
      <c r="D63" s="4">
        <f t="shared" si="17"/>
        <v>0</v>
      </c>
    </row>
    <row r="67">
      <c r="A67" s="2" t="s">
        <v>75</v>
      </c>
    </row>
    <row r="68">
      <c r="A68" s="2" t="s">
        <v>49</v>
      </c>
      <c r="B68" s="2" t="s">
        <v>76</v>
      </c>
      <c r="C68" s="2" t="s">
        <v>77</v>
      </c>
    </row>
    <row r="69">
      <c r="A69" s="2">
        <v>1.0</v>
      </c>
      <c r="B69" s="4">
        <f>11296/2</f>
        <v>5648</v>
      </c>
    </row>
    <row r="70">
      <c r="A70" s="2">
        <v>2.0</v>
      </c>
      <c r="B70" s="4">
        <f>11306/2</f>
        <v>5653</v>
      </c>
    </row>
    <row r="71">
      <c r="A71" s="2">
        <v>4.0</v>
      </c>
    </row>
    <row r="72">
      <c r="A72" s="2">
        <v>8.0</v>
      </c>
    </row>
    <row r="73">
      <c r="A73" s="2">
        <v>16.0</v>
      </c>
    </row>
    <row r="74">
      <c r="A74" s="2">
        <v>32.0</v>
      </c>
    </row>
    <row r="75">
      <c r="A75" s="2">
        <v>64.0</v>
      </c>
    </row>
    <row r="76">
      <c r="A76" s="2">
        <v>128.0</v>
      </c>
    </row>
    <row r="77">
      <c r="A77" s="2">
        <v>256.0</v>
      </c>
    </row>
    <row r="78">
      <c r="A78" s="2">
        <v>512.0</v>
      </c>
    </row>
    <row r="79">
      <c r="A79" s="2">
        <v>1024.0</v>
      </c>
    </row>
    <row r="80">
      <c r="A80" s="2">
        <v>2048.0</v>
      </c>
    </row>
    <row r="81">
      <c r="A81" s="2">
        <v>4096.0</v>
      </c>
    </row>
    <row r="83">
      <c r="A83" s="2" t="s">
        <v>73</v>
      </c>
      <c r="O83" s="2" t="s">
        <v>49</v>
      </c>
      <c r="P83" s="2" t="s">
        <v>50</v>
      </c>
      <c r="Q83" s="2" t="s">
        <v>52</v>
      </c>
    </row>
    <row r="84">
      <c r="A84" s="2" t="s">
        <v>62</v>
      </c>
      <c r="B84" s="2" t="s">
        <v>76</v>
      </c>
      <c r="C84" s="2" t="s">
        <v>77</v>
      </c>
      <c r="O84" s="2">
        <v>1.0</v>
      </c>
      <c r="P84" s="2">
        <v>4623.0</v>
      </c>
      <c r="Q84" s="4">
        <f t="shared" ref="Q84:Q85" si="18">12671/2</f>
        <v>6335.5</v>
      </c>
    </row>
    <row r="85">
      <c r="A85" s="2">
        <v>4.0</v>
      </c>
      <c r="B85" s="4">
        <f>3175/2</f>
        <v>1587.5</v>
      </c>
      <c r="O85" s="2">
        <v>2.0</v>
      </c>
      <c r="P85" s="2">
        <v>4624.0</v>
      </c>
      <c r="Q85" s="4">
        <f t="shared" si="18"/>
        <v>6335.5</v>
      </c>
    </row>
    <row r="86">
      <c r="A86" s="2">
        <v>8.0</v>
      </c>
      <c r="B86" s="4">
        <f>3264/2</f>
        <v>1632</v>
      </c>
      <c r="O86" s="2">
        <v>4.0</v>
      </c>
      <c r="P86" s="2">
        <v>4626.0</v>
      </c>
      <c r="Q86" s="4">
        <f>12677/2</f>
        <v>6338.5</v>
      </c>
    </row>
    <row r="87">
      <c r="A87" s="2">
        <v>16.0</v>
      </c>
      <c r="B87" s="4">
        <f>3440/2</f>
        <v>1720</v>
      </c>
      <c r="O87" s="2">
        <v>8.0</v>
      </c>
      <c r="P87" s="2">
        <v>4630.0</v>
      </c>
      <c r="Q87" s="4">
        <f>12683/2</f>
        <v>6341.5</v>
      </c>
    </row>
    <row r="88">
      <c r="A88" s="2">
        <v>32.0</v>
      </c>
      <c r="B88" s="4">
        <f>3792/2</f>
        <v>1896</v>
      </c>
      <c r="O88" s="2">
        <v>16.0</v>
      </c>
      <c r="P88" s="2">
        <v>4638.0</v>
      </c>
      <c r="Q88" s="4">
        <f>12701/2</f>
        <v>6350.5</v>
      </c>
    </row>
    <row r="89">
      <c r="A89" s="2">
        <v>64.0</v>
      </c>
      <c r="B89" s="4">
        <f>4496/2</f>
        <v>2248</v>
      </c>
      <c r="O89" s="2">
        <v>32.0</v>
      </c>
      <c r="P89" s="2">
        <v>4654.0</v>
      </c>
      <c r="Q89" s="4">
        <f>12737/2</f>
        <v>6368.5</v>
      </c>
    </row>
    <row r="90">
      <c r="A90" s="2">
        <v>128.0</v>
      </c>
      <c r="B90" s="4">
        <f>5904/2</f>
        <v>2952</v>
      </c>
      <c r="O90" s="2">
        <v>64.0</v>
      </c>
      <c r="P90" s="2">
        <v>4686.0</v>
      </c>
      <c r="Q90" s="4">
        <f>12809/2</f>
        <v>6404.5</v>
      </c>
    </row>
    <row r="91">
      <c r="A91" s="2">
        <v>256.0</v>
      </c>
      <c r="B91" s="4">
        <f>8720/2</f>
        <v>4360</v>
      </c>
      <c r="O91" s="2">
        <v>128.0</v>
      </c>
      <c r="P91" s="2">
        <v>4750.0</v>
      </c>
      <c r="Q91" s="4">
        <f>12953/2</f>
        <v>6476.5</v>
      </c>
    </row>
    <row r="92">
      <c r="A92" s="2">
        <v>512.0</v>
      </c>
      <c r="B92" s="4">
        <f>14352/2</f>
        <v>7176</v>
      </c>
      <c r="O92" s="2">
        <v>256.0</v>
      </c>
      <c r="P92" s="2">
        <v>4878.0</v>
      </c>
      <c r="Q92" s="4">
        <f>13241/2</f>
        <v>6620.5</v>
      </c>
    </row>
    <row r="93">
      <c r="A93" s="4">
        <f>512 + 256</f>
        <v>768</v>
      </c>
      <c r="O93" s="2">
        <v>512.0</v>
      </c>
      <c r="P93" s="2">
        <v>5134.0</v>
      </c>
      <c r="Q93" s="4">
        <f>13817/2</f>
        <v>6908.5</v>
      </c>
    </row>
    <row r="94">
      <c r="O94" s="2">
        <v>1024.0</v>
      </c>
      <c r="P94" s="2">
        <v>5646.0</v>
      </c>
      <c r="Q94" s="4">
        <f>15023/2</f>
        <v>7511.5</v>
      </c>
    </row>
    <row r="95">
      <c r="O95" s="2">
        <v>2048.0</v>
      </c>
      <c r="P95" s="2">
        <v>6670.0</v>
      </c>
      <c r="Q95" s="4">
        <f>17273/2</f>
        <v>8636.5</v>
      </c>
    </row>
    <row r="96">
      <c r="O96" s="2">
        <v>4096.0</v>
      </c>
      <c r="P96" s="2">
        <v>8718.0</v>
      </c>
      <c r="Q96" s="2">
        <f>21881/2</f>
        <v>10940.5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</v>
      </c>
      <c r="F1" s="2" t="s">
        <v>22</v>
      </c>
    </row>
    <row r="2">
      <c r="A2" s="2" t="s">
        <v>23</v>
      </c>
      <c r="F2" s="2" t="s">
        <v>24</v>
      </c>
    </row>
    <row r="3">
      <c r="A3" s="2" t="s">
        <v>25</v>
      </c>
      <c r="F3" s="2" t="s">
        <v>26</v>
      </c>
    </row>
    <row r="7">
      <c r="A7" s="2" t="s">
        <v>27</v>
      </c>
    </row>
    <row r="8">
      <c r="F8" s="2" t="s">
        <v>28</v>
      </c>
      <c r="G8" s="2" t="s">
        <v>29</v>
      </c>
    </row>
    <row r="9">
      <c r="A9" s="2" t="s">
        <v>30</v>
      </c>
      <c r="B9" s="2" t="s">
        <v>31</v>
      </c>
      <c r="C9" s="2" t="s">
        <v>32</v>
      </c>
      <c r="D9" s="2" t="s">
        <v>15</v>
      </c>
      <c r="E9" s="2" t="s">
        <v>33</v>
      </c>
      <c r="F9" s="2" t="s">
        <v>34</v>
      </c>
      <c r="G9" s="2" t="s">
        <v>13</v>
      </c>
      <c r="H9" s="2" t="s">
        <v>35</v>
      </c>
      <c r="I9" s="2" t="s">
        <v>36</v>
      </c>
    </row>
    <row r="10">
      <c r="A10" s="2">
        <v>0.01</v>
      </c>
      <c r="B10" s="4">
        <f t="shared" ref="B10:B15" si="1">A10 * 100</f>
        <v>1</v>
      </c>
      <c r="C10" s="2">
        <v>8.0</v>
      </c>
      <c r="D10" s="2">
        <v>7846.0</v>
      </c>
      <c r="E10" s="2">
        <v>7855.0</v>
      </c>
      <c r="F10" s="4">
        <f t="shared" ref="F10:F15" si="2">1.13 * 10 + 6335</f>
        <v>6346.3</v>
      </c>
      <c r="G10" s="4">
        <f t="shared" ref="G10:G15" si="3"> 3 * 10 + 1201</f>
        <v>1231</v>
      </c>
      <c r="H10" s="4">
        <f t="shared" ref="H10:H15" si="4">F10+G10</f>
        <v>7577.3</v>
      </c>
      <c r="I10" s="4">
        <f t="shared" ref="I10:I15" si="5">D10-H10</f>
        <v>268.7</v>
      </c>
    </row>
    <row r="11">
      <c r="A11" s="2">
        <v>0.05</v>
      </c>
      <c r="B11" s="4">
        <f t="shared" si="1"/>
        <v>5</v>
      </c>
      <c r="C11" s="2">
        <v>17.0</v>
      </c>
      <c r="D11" s="2">
        <v>8034.0</v>
      </c>
      <c r="F11" s="4">
        <f t="shared" si="2"/>
        <v>6346.3</v>
      </c>
      <c r="G11" s="4">
        <f t="shared" si="3"/>
        <v>1231</v>
      </c>
      <c r="H11" s="4">
        <f t="shared" si="4"/>
        <v>7577.3</v>
      </c>
      <c r="I11" s="4">
        <f t="shared" si="5"/>
        <v>456.7</v>
      </c>
    </row>
    <row r="12">
      <c r="A12" s="2">
        <v>0.1</v>
      </c>
      <c r="B12" s="4">
        <f t="shared" si="1"/>
        <v>10</v>
      </c>
      <c r="C12" s="2">
        <v>27.0</v>
      </c>
      <c r="D12" s="2">
        <v>8143.0</v>
      </c>
      <c r="F12" s="4">
        <f t="shared" si="2"/>
        <v>6346.3</v>
      </c>
      <c r="G12" s="4">
        <f t="shared" si="3"/>
        <v>1231</v>
      </c>
      <c r="H12" s="4">
        <f t="shared" si="4"/>
        <v>7577.3</v>
      </c>
      <c r="I12" s="4">
        <f t="shared" si="5"/>
        <v>565.7</v>
      </c>
    </row>
    <row r="13">
      <c r="A13" s="2">
        <v>0.2</v>
      </c>
      <c r="B13" s="4">
        <f t="shared" si="1"/>
        <v>20</v>
      </c>
      <c r="C13" s="2">
        <v>40.0</v>
      </c>
      <c r="D13" s="2">
        <v>8436.0</v>
      </c>
      <c r="F13" s="4">
        <f t="shared" si="2"/>
        <v>6346.3</v>
      </c>
      <c r="G13" s="4">
        <f t="shared" si="3"/>
        <v>1231</v>
      </c>
      <c r="H13" s="4">
        <f t="shared" si="4"/>
        <v>7577.3</v>
      </c>
      <c r="I13" s="4">
        <f t="shared" si="5"/>
        <v>858.7</v>
      </c>
    </row>
    <row r="14">
      <c r="A14" s="2">
        <v>0.4</v>
      </c>
      <c r="B14" s="4">
        <f t="shared" si="1"/>
        <v>40</v>
      </c>
      <c r="C14" s="2">
        <v>61.0</v>
      </c>
      <c r="D14" s="2">
        <v>9024.0</v>
      </c>
      <c r="F14" s="4">
        <f t="shared" si="2"/>
        <v>6346.3</v>
      </c>
      <c r="G14" s="4">
        <f t="shared" si="3"/>
        <v>1231</v>
      </c>
      <c r="H14" s="4">
        <f t="shared" si="4"/>
        <v>7577.3</v>
      </c>
      <c r="I14" s="4">
        <f t="shared" si="5"/>
        <v>1446.7</v>
      </c>
    </row>
    <row r="15">
      <c r="A15" s="2">
        <v>0.8</v>
      </c>
      <c r="B15" s="4">
        <f t="shared" si="1"/>
        <v>80</v>
      </c>
      <c r="C15" s="2">
        <v>95.0</v>
      </c>
      <c r="D15" s="2">
        <v>9871.0</v>
      </c>
      <c r="E15" s="2">
        <v>10086.0</v>
      </c>
      <c r="F15" s="4">
        <f t="shared" si="2"/>
        <v>6346.3</v>
      </c>
      <c r="G15" s="4">
        <f t="shared" si="3"/>
        <v>1231</v>
      </c>
      <c r="H15" s="4">
        <f t="shared" si="4"/>
        <v>7577.3</v>
      </c>
      <c r="I15" s="4">
        <f t="shared" si="5"/>
        <v>2293.7</v>
      </c>
    </row>
    <row r="34">
      <c r="P34" s="2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 t="s">
        <v>2</v>
      </c>
      <c r="E1" s="1"/>
      <c r="F1" s="1"/>
      <c r="G1" s="1" t="s">
        <v>5</v>
      </c>
      <c r="H1" s="1"/>
      <c r="I1" s="1"/>
      <c r="J1" s="1" t="s">
        <v>8</v>
      </c>
      <c r="K1" s="1"/>
      <c r="L1" s="1"/>
    </row>
    <row r="2">
      <c r="A2" s="1" t="s">
        <v>9</v>
      </c>
      <c r="B2" s="1" t="s">
        <v>11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14</v>
      </c>
      <c r="H2" s="1" t="s">
        <v>15</v>
      </c>
      <c r="I2" s="1" t="s">
        <v>16</v>
      </c>
      <c r="J2" s="1" t="s">
        <v>14</v>
      </c>
      <c r="K2" s="1" t="s">
        <v>15</v>
      </c>
      <c r="L2" s="1" t="s">
        <v>16</v>
      </c>
    </row>
    <row r="3">
      <c r="A3" s="3">
        <v>512.0</v>
      </c>
      <c r="B3" s="3">
        <v>8.0</v>
      </c>
      <c r="C3" s="3">
        <f t="shared" ref="C3:C7" si="1">0.005 * 128 * 128 * 32 * 32 / A3 / A3</f>
        <v>0.32</v>
      </c>
      <c r="D3" s="3">
        <v>5.0</v>
      </c>
      <c r="E3" s="3">
        <v>7762.0</v>
      </c>
      <c r="F3" s="3">
        <v>277.0</v>
      </c>
      <c r="G3" s="3">
        <v>5.0</v>
      </c>
      <c r="H3" s="3">
        <v>7748.0</v>
      </c>
      <c r="I3" s="3">
        <v>277.0</v>
      </c>
      <c r="J3" s="3">
        <v>5.0</v>
      </c>
      <c r="K3" s="3">
        <v>7748.0</v>
      </c>
      <c r="L3" s="3">
        <v>277.0</v>
      </c>
    </row>
    <row r="4">
      <c r="A4" s="3">
        <v>256.0</v>
      </c>
      <c r="B4" s="3">
        <v>16.0</v>
      </c>
      <c r="C4" s="3">
        <f t="shared" si="1"/>
        <v>1.28</v>
      </c>
      <c r="D4" s="3">
        <v>9.0</v>
      </c>
      <c r="E4" s="3">
        <v>4154.0</v>
      </c>
      <c r="F4" s="3">
        <v>495.0</v>
      </c>
      <c r="G4" s="3">
        <v>9.0</v>
      </c>
      <c r="H4" s="3">
        <v>4243.0</v>
      </c>
      <c r="I4" s="3">
        <v>486.0</v>
      </c>
      <c r="J4" s="3">
        <v>8.0</v>
      </c>
      <c r="K4" s="3">
        <v>4180.0</v>
      </c>
      <c r="L4" s="3">
        <v>476.0</v>
      </c>
    </row>
    <row r="5">
      <c r="A5" s="3">
        <v>128.0</v>
      </c>
      <c r="B5" s="3">
        <v>32.0</v>
      </c>
      <c r="C5" s="3">
        <f t="shared" si="1"/>
        <v>5.12</v>
      </c>
      <c r="D5" s="3">
        <v>15.0</v>
      </c>
      <c r="E5" s="3">
        <v>2748.0</v>
      </c>
      <c r="F5" s="3">
        <v>872.0</v>
      </c>
      <c r="G5" s="3">
        <v>18.0</v>
      </c>
      <c r="H5" s="3">
        <v>2766.0</v>
      </c>
      <c r="I5" s="3">
        <v>891.0</v>
      </c>
      <c r="J5" s="3">
        <v>18.0</v>
      </c>
      <c r="K5" s="3">
        <v>2746.0</v>
      </c>
      <c r="L5" s="3">
        <v>874.0</v>
      </c>
    </row>
    <row r="6">
      <c r="A6" s="3">
        <v>64.0</v>
      </c>
      <c r="B6" s="3">
        <v>64.0</v>
      </c>
      <c r="C6" s="3">
        <f t="shared" si="1"/>
        <v>20.48</v>
      </c>
      <c r="D6" s="3">
        <v>40.0</v>
      </c>
      <c r="E6" s="3">
        <v>2697.0</v>
      </c>
      <c r="F6" s="3">
        <v>1810.0</v>
      </c>
      <c r="G6" s="3">
        <v>41.0</v>
      </c>
      <c r="H6" s="3">
        <v>2758.0</v>
      </c>
      <c r="I6" s="3">
        <v>1812.0</v>
      </c>
      <c r="J6" s="3">
        <v>41.0</v>
      </c>
      <c r="K6" s="3">
        <v>2774.0</v>
      </c>
      <c r="L6" s="3">
        <v>1844.0</v>
      </c>
    </row>
    <row r="7">
      <c r="A7" s="3">
        <v>32.0</v>
      </c>
      <c r="B7" s="3">
        <v>128.0</v>
      </c>
      <c r="C7" s="3">
        <f t="shared" si="1"/>
        <v>81.92</v>
      </c>
      <c r="D7" s="3">
        <v>115.0</v>
      </c>
      <c r="E7" s="3">
        <v>4561.0</v>
      </c>
      <c r="F7" s="3">
        <v>4242.0</v>
      </c>
      <c r="G7" s="3">
        <v>113.0</v>
      </c>
      <c r="H7" s="3">
        <v>4748.0</v>
      </c>
      <c r="I7" s="3">
        <v>3184.0</v>
      </c>
      <c r="J7" s="3">
        <v>115.0</v>
      </c>
      <c r="K7" s="3">
        <v>4625.0</v>
      </c>
      <c r="L7" s="3">
        <v>4168.0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" t="s">
        <v>17</v>
      </c>
      <c r="B9" s="1"/>
      <c r="C9" s="1"/>
      <c r="D9" s="1" t="s">
        <v>18</v>
      </c>
      <c r="E9" s="1"/>
      <c r="F9" s="1"/>
      <c r="G9" s="1" t="s">
        <v>5</v>
      </c>
      <c r="H9" s="1"/>
      <c r="I9" s="1"/>
      <c r="J9" s="1" t="s">
        <v>8</v>
      </c>
      <c r="K9" s="1"/>
      <c r="L9" s="1"/>
    </row>
    <row r="10">
      <c r="A10" s="1" t="s">
        <v>9</v>
      </c>
      <c r="B10" s="1" t="s">
        <v>11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14</v>
      </c>
      <c r="H10" s="1" t="s">
        <v>15</v>
      </c>
      <c r="I10" s="1" t="s">
        <v>16</v>
      </c>
      <c r="J10" s="1" t="s">
        <v>14</v>
      </c>
      <c r="K10" s="1" t="s">
        <v>15</v>
      </c>
      <c r="L10" s="1" t="s">
        <v>16</v>
      </c>
    </row>
    <row r="11">
      <c r="A11" s="3">
        <v>512.0</v>
      </c>
      <c r="B11" s="3">
        <v>8.0</v>
      </c>
      <c r="C11" s="3">
        <f t="shared" ref="C11:C15" si="2">0.01 * 128 * 128 * 32 * 32 / A11 / A11</f>
        <v>0.64</v>
      </c>
      <c r="D11" s="3">
        <v>7.0</v>
      </c>
      <c r="E11" s="3">
        <v>7771.0</v>
      </c>
      <c r="F11" s="3">
        <v>314.0</v>
      </c>
      <c r="G11" s="3">
        <v>6.0</v>
      </c>
      <c r="H11" s="3">
        <v>7766.0</v>
      </c>
      <c r="I11" s="3">
        <v>296.0</v>
      </c>
      <c r="J11" s="3">
        <v>7.0</v>
      </c>
      <c r="K11" s="3">
        <v>7751.0</v>
      </c>
      <c r="L11" s="3">
        <v>314.0</v>
      </c>
    </row>
    <row r="12">
      <c r="A12" s="3">
        <v>256.0</v>
      </c>
      <c r="B12" s="3">
        <v>16.0</v>
      </c>
      <c r="C12" s="3">
        <f t="shared" si="2"/>
        <v>2.56</v>
      </c>
      <c r="D12" s="3">
        <v>12.0</v>
      </c>
      <c r="E12" s="3">
        <v>4212.0</v>
      </c>
      <c r="F12" s="3">
        <v>545.0</v>
      </c>
      <c r="G12" s="3">
        <v>11.0</v>
      </c>
      <c r="H12" s="3">
        <v>4233.0</v>
      </c>
      <c r="I12" s="3">
        <v>526.0</v>
      </c>
      <c r="J12" s="3">
        <v>12.0</v>
      </c>
      <c r="K12" s="3">
        <v>4241.0</v>
      </c>
      <c r="L12" s="3">
        <v>527.0</v>
      </c>
    </row>
    <row r="13">
      <c r="A13" s="3">
        <v>128.0</v>
      </c>
      <c r="B13" s="3">
        <v>32.0</v>
      </c>
      <c r="C13" s="3">
        <f t="shared" si="2"/>
        <v>10.24</v>
      </c>
      <c r="D13" s="3">
        <v>24.0</v>
      </c>
      <c r="E13" s="3">
        <v>2844.0</v>
      </c>
      <c r="F13" s="3">
        <v>1020.0</v>
      </c>
      <c r="G13" s="3">
        <v>26.0</v>
      </c>
      <c r="H13" s="3">
        <v>2866.0</v>
      </c>
      <c r="I13" s="3">
        <v>1020.0</v>
      </c>
      <c r="J13" s="3">
        <v>25.0</v>
      </c>
      <c r="K13" s="3">
        <v>2894.0</v>
      </c>
      <c r="L13" s="3">
        <v>1022.0</v>
      </c>
    </row>
    <row r="14">
      <c r="A14" s="3">
        <v>64.0</v>
      </c>
      <c r="B14" s="3">
        <v>64.0</v>
      </c>
      <c r="C14" s="3">
        <f t="shared" si="2"/>
        <v>40.96</v>
      </c>
      <c r="D14" s="3">
        <v>68.0</v>
      </c>
      <c r="E14" s="3">
        <v>3444.0</v>
      </c>
      <c r="F14" s="3">
        <v>2292.0</v>
      </c>
      <c r="G14" s="3">
        <v>66.0</v>
      </c>
      <c r="H14" s="3">
        <v>3260.0</v>
      </c>
      <c r="I14" s="3">
        <v>2261.0</v>
      </c>
      <c r="J14" s="3">
        <v>70.0</v>
      </c>
      <c r="K14" s="3">
        <v>3148.0</v>
      </c>
      <c r="L14" s="3">
        <v>2292.0</v>
      </c>
    </row>
    <row r="15">
      <c r="A15" s="3">
        <v>32.0</v>
      </c>
      <c r="B15" s="3">
        <v>128.0</v>
      </c>
      <c r="C15" s="3">
        <f t="shared" si="2"/>
        <v>163.84</v>
      </c>
      <c r="D15" s="3">
        <v>208.0</v>
      </c>
      <c r="E15" s="3">
        <v>6328.0</v>
      </c>
      <c r="F15" s="3">
        <v>5649.0</v>
      </c>
      <c r="G15" s="3">
        <v>201.0</v>
      </c>
      <c r="H15" s="3">
        <v>6402.0</v>
      </c>
      <c r="I15" s="3">
        <v>5664.0</v>
      </c>
      <c r="J15" s="3">
        <v>206.0</v>
      </c>
      <c r="K15" s="3">
        <v>6024.0</v>
      </c>
      <c r="L15" s="3">
        <v>5656.0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A17" s="1" t="s">
        <v>19</v>
      </c>
      <c r="B17" s="1"/>
      <c r="C17" s="1"/>
      <c r="D17" s="1" t="s">
        <v>18</v>
      </c>
      <c r="E17" s="1"/>
      <c r="F17" s="1"/>
      <c r="G17" s="1" t="s">
        <v>5</v>
      </c>
      <c r="H17" s="1"/>
      <c r="I17" s="1"/>
      <c r="J17" s="1" t="s">
        <v>8</v>
      </c>
      <c r="K17" s="1"/>
      <c r="L17" s="1"/>
    </row>
    <row r="18">
      <c r="A18" s="1" t="s">
        <v>9</v>
      </c>
      <c r="B18" s="1" t="s">
        <v>11</v>
      </c>
      <c r="C18" s="1"/>
      <c r="D18" s="1" t="s">
        <v>14</v>
      </c>
      <c r="E18" s="1" t="s">
        <v>15</v>
      </c>
      <c r="F18" s="1" t="s">
        <v>16</v>
      </c>
      <c r="G18" s="1" t="s">
        <v>14</v>
      </c>
      <c r="H18" s="1" t="s">
        <v>15</v>
      </c>
      <c r="I18" s="1" t="s">
        <v>16</v>
      </c>
      <c r="J18" s="1" t="s">
        <v>14</v>
      </c>
      <c r="K18" s="1" t="s">
        <v>15</v>
      </c>
      <c r="L18" s="1" t="s">
        <v>16</v>
      </c>
    </row>
    <row r="19">
      <c r="A19" s="3">
        <v>512.0</v>
      </c>
      <c r="B19" s="3">
        <v>8.0</v>
      </c>
      <c r="C19" s="3">
        <f t="shared" ref="C19:C23" si="3">0.02 * 128 * 128 * 32 * 32 / A19 / A19</f>
        <v>1.28</v>
      </c>
      <c r="D19" s="3">
        <v>9.0</v>
      </c>
      <c r="E19" s="3">
        <v>7773.0</v>
      </c>
      <c r="F19" s="3">
        <v>351.0</v>
      </c>
      <c r="G19" s="3">
        <v>9.0</v>
      </c>
      <c r="H19" s="3">
        <v>7786.0</v>
      </c>
      <c r="I19" s="3">
        <v>332.0</v>
      </c>
      <c r="J19" s="3">
        <v>9.0</v>
      </c>
      <c r="K19" s="3">
        <v>7804.0</v>
      </c>
      <c r="L19" s="3">
        <v>350.0</v>
      </c>
    </row>
    <row r="20">
      <c r="A20" s="3">
        <v>256.0</v>
      </c>
      <c r="B20" s="3">
        <v>16.0</v>
      </c>
      <c r="C20" s="3">
        <f t="shared" si="3"/>
        <v>5.12</v>
      </c>
      <c r="D20" s="3">
        <v>16.0</v>
      </c>
      <c r="E20" s="3">
        <v>4284.0</v>
      </c>
      <c r="F20" s="3">
        <v>605.0</v>
      </c>
      <c r="G20" s="3">
        <v>18.0</v>
      </c>
      <c r="H20" s="3">
        <v>4335.0</v>
      </c>
      <c r="I20" s="3">
        <v>659.0</v>
      </c>
      <c r="J20" s="3">
        <v>18.0</v>
      </c>
      <c r="K20" s="3">
        <v>4281.0</v>
      </c>
      <c r="L20" s="3">
        <v>624.0</v>
      </c>
    </row>
    <row r="21">
      <c r="A21" s="3">
        <v>128.0</v>
      </c>
      <c r="B21" s="3">
        <v>32.0</v>
      </c>
      <c r="C21" s="3">
        <f t="shared" si="3"/>
        <v>20.48</v>
      </c>
      <c r="D21" s="3">
        <v>39.0</v>
      </c>
      <c r="E21" s="3">
        <v>3087.0</v>
      </c>
      <c r="F21" s="3">
        <v>1281.0</v>
      </c>
      <c r="G21" s="3">
        <v>40.0</v>
      </c>
      <c r="H21" s="3">
        <v>3109.0</v>
      </c>
      <c r="I21" s="3">
        <v>1260.0</v>
      </c>
      <c r="J21" s="3">
        <v>41.0</v>
      </c>
      <c r="K21" s="3">
        <v>3098.0</v>
      </c>
      <c r="L21" s="3">
        <v>1263.0</v>
      </c>
    </row>
    <row r="22">
      <c r="A22" s="3">
        <v>64.0</v>
      </c>
      <c r="B22" s="3">
        <v>64.0</v>
      </c>
      <c r="C22" s="3">
        <f t="shared" si="3"/>
        <v>81.92</v>
      </c>
      <c r="D22" s="3">
        <v>111.0</v>
      </c>
      <c r="E22" s="3">
        <v>3994.0</v>
      </c>
      <c r="F22" s="3">
        <v>3042.0</v>
      </c>
      <c r="G22" s="3">
        <v>117.0</v>
      </c>
      <c r="H22" s="3">
        <v>3858.0</v>
      </c>
      <c r="I22" s="3">
        <v>3093.0</v>
      </c>
      <c r="J22" s="3">
        <v>118.0</v>
      </c>
      <c r="K22" s="3">
        <v>3790.0</v>
      </c>
      <c r="L22" s="3">
        <v>3040.0</v>
      </c>
    </row>
    <row r="23">
      <c r="A23" s="3">
        <v>32.0</v>
      </c>
      <c r="B23" s="3">
        <v>128.0</v>
      </c>
      <c r="C23" s="3">
        <f t="shared" si="3"/>
        <v>327.68</v>
      </c>
      <c r="D23" s="3">
        <v>378.0</v>
      </c>
      <c r="E23" s="3">
        <v>8930.0</v>
      </c>
      <c r="F23" s="3">
        <v>8643.0</v>
      </c>
      <c r="G23" s="3">
        <v>377.0</v>
      </c>
      <c r="H23" s="3">
        <v>9033.0</v>
      </c>
      <c r="I23" s="3">
        <v>8590.0</v>
      </c>
      <c r="J23" s="3">
        <v>388.0</v>
      </c>
      <c r="K23" s="3">
        <v>8856.0</v>
      </c>
      <c r="L23" s="3">
        <v>8679.0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 t="s">
        <v>20</v>
      </c>
      <c r="B27" s="1"/>
      <c r="C27" s="1"/>
      <c r="D27" s="1" t="s">
        <v>18</v>
      </c>
      <c r="E27" s="1"/>
      <c r="F27" s="1"/>
      <c r="G27" s="1" t="s">
        <v>5</v>
      </c>
      <c r="H27" s="1"/>
      <c r="I27" s="1"/>
      <c r="J27" s="1" t="s">
        <v>8</v>
      </c>
      <c r="K27" s="1"/>
      <c r="L27" s="1"/>
    </row>
    <row r="28">
      <c r="A28" s="1" t="s">
        <v>9</v>
      </c>
      <c r="B28" s="1" t="s">
        <v>11</v>
      </c>
      <c r="C28" s="1"/>
      <c r="D28" s="1" t="s">
        <v>14</v>
      </c>
      <c r="E28" s="1" t="s">
        <v>15</v>
      </c>
      <c r="F28" s="1" t="s">
        <v>16</v>
      </c>
      <c r="G28" s="1" t="s">
        <v>14</v>
      </c>
      <c r="H28" s="1" t="s">
        <v>15</v>
      </c>
      <c r="I28" s="1" t="s">
        <v>16</v>
      </c>
      <c r="J28" s="1" t="s">
        <v>14</v>
      </c>
      <c r="K28" s="1" t="s">
        <v>15</v>
      </c>
      <c r="L28" s="1" t="s">
        <v>16</v>
      </c>
    </row>
    <row r="29">
      <c r="A29" s="3">
        <v>512.0</v>
      </c>
      <c r="B29" s="3">
        <v>8.0</v>
      </c>
      <c r="C29" s="3">
        <f t="shared" ref="C29:C32" si="4">0.4 * 128 * 128 * 32 * 32 / A29 / A29</f>
        <v>25.6</v>
      </c>
      <c r="D29" s="3">
        <v>45.0</v>
      </c>
      <c r="E29" s="3">
        <v>8334.0</v>
      </c>
      <c r="F29" s="3">
        <v>946.0</v>
      </c>
      <c r="G29" s="1"/>
      <c r="H29" s="1"/>
      <c r="I29" s="1"/>
      <c r="J29" s="1"/>
      <c r="K29" s="1"/>
      <c r="L29" s="1"/>
    </row>
    <row r="30">
      <c r="A30" s="3">
        <v>256.0</v>
      </c>
      <c r="B30" s="3">
        <v>16.0</v>
      </c>
      <c r="C30" s="3">
        <f t="shared" si="4"/>
        <v>102.4</v>
      </c>
      <c r="D30" s="3">
        <v>113.0</v>
      </c>
      <c r="E30" s="3">
        <v>5983.0</v>
      </c>
      <c r="F30" s="3">
        <v>2568.0</v>
      </c>
      <c r="G30" s="1"/>
      <c r="H30" s="1"/>
      <c r="I30" s="1"/>
      <c r="J30" s="1"/>
      <c r="K30" s="1"/>
      <c r="L30" s="1"/>
    </row>
    <row r="31">
      <c r="A31" s="3">
        <v>128.0</v>
      </c>
      <c r="B31" s="3">
        <v>32.0</v>
      </c>
      <c r="C31" s="3">
        <f t="shared" si="4"/>
        <v>409.6</v>
      </c>
      <c r="D31" s="3">
        <v>469.0</v>
      </c>
      <c r="E31" s="3">
        <v>9871.0</v>
      </c>
      <c r="F31" s="3">
        <v>8362.0</v>
      </c>
      <c r="G31" s="1"/>
      <c r="H31" s="1"/>
      <c r="I31" s="1"/>
      <c r="J31" s="1"/>
      <c r="K31" s="1"/>
      <c r="L31" s="1"/>
    </row>
    <row r="32">
      <c r="A32" s="3">
        <v>64.0</v>
      </c>
      <c r="B32" s="3">
        <v>64.0</v>
      </c>
      <c r="C32" s="3">
        <f t="shared" si="4"/>
        <v>1638.4</v>
      </c>
      <c r="D32" s="3">
        <v>1757.0</v>
      </c>
      <c r="E32" s="3">
        <v>30545.0</v>
      </c>
      <c r="F32" s="3">
        <v>29692.0</v>
      </c>
      <c r="G32" s="1"/>
      <c r="H32" s="1"/>
      <c r="I32" s="1"/>
      <c r="J32" s="1"/>
      <c r="K32" s="1"/>
      <c r="L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3">
      <c r="A3" s="2" t="s">
        <v>3</v>
      </c>
      <c r="B3" s="2" t="s">
        <v>4</v>
      </c>
      <c r="C3" s="2" t="s">
        <v>6</v>
      </c>
      <c r="D3" s="2" t="s">
        <v>7</v>
      </c>
      <c r="E3" s="2" t="s">
        <v>10</v>
      </c>
      <c r="F3" s="2" t="s">
        <v>13</v>
      </c>
    </row>
    <row r="4">
      <c r="A4" s="2">
        <v>1.0</v>
      </c>
      <c r="B4" s="2">
        <v>0.0625</v>
      </c>
      <c r="C4" s="2"/>
      <c r="D4" s="2">
        <v>759.0</v>
      </c>
      <c r="E4" s="2">
        <v>591.0</v>
      </c>
      <c r="F4" s="2">
        <v>135.0</v>
      </c>
    </row>
    <row r="5">
      <c r="A5" s="2">
        <v>2.0</v>
      </c>
      <c r="B5" s="2">
        <v>0.25</v>
      </c>
      <c r="C5" s="2"/>
      <c r="D5" s="2">
        <v>789.0</v>
      </c>
      <c r="E5" s="2">
        <v>592.0</v>
      </c>
      <c r="F5" s="2">
        <v>136.0</v>
      </c>
    </row>
    <row r="6">
      <c r="A6" s="2">
        <v>4.0</v>
      </c>
      <c r="B6" s="2">
        <v>1.0</v>
      </c>
      <c r="C6" s="2"/>
      <c r="D6" s="2">
        <v>861.0</v>
      </c>
      <c r="E6" s="2">
        <v>594.0</v>
      </c>
      <c r="F6" s="2">
        <v>138.0</v>
      </c>
    </row>
    <row r="7">
      <c r="A7" s="2">
        <v>8.0</v>
      </c>
      <c r="B7" s="2">
        <v>4.0</v>
      </c>
      <c r="C7" s="2">
        <v>12.0</v>
      </c>
      <c r="D7" s="2">
        <v>1023.0</v>
      </c>
      <c r="E7" s="2">
        <v>598.0</v>
      </c>
      <c r="F7" s="2">
        <v>142.0</v>
      </c>
    </row>
    <row r="8">
      <c r="A8" s="2">
        <v>16.0</v>
      </c>
      <c r="B8" s="2">
        <v>16.0</v>
      </c>
      <c r="C8" s="2">
        <v>32.0</v>
      </c>
      <c r="D8" s="2">
        <v>1517.0</v>
      </c>
      <c r="E8" s="2">
        <v>606.0</v>
      </c>
      <c r="F8" s="2">
        <v>150.0</v>
      </c>
    </row>
    <row r="9">
      <c r="A9" s="2">
        <v>32.0</v>
      </c>
      <c r="B9" s="2">
        <v>64.0</v>
      </c>
      <c r="C9" s="2">
        <v>94.0</v>
      </c>
      <c r="D9" s="2">
        <v>3070.0</v>
      </c>
      <c r="E9" s="2">
        <v>622.0</v>
      </c>
      <c r="F9" s="2">
        <v>202.0</v>
      </c>
    </row>
  </sheetData>
  <drawing r:id="rId1"/>
</worksheet>
</file>